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i 40j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#,##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87A7F"/>
      </patternFill>
    </fill>
    <fill>
      <patternFill patternType="solid">
        <fgColor rgb="00FDE2E3"/>
      </patternFill>
    </fill>
    <fill>
      <patternFill patternType="solid">
        <fgColor rgb="00FBC4C6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4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0" fillId="0" borderId="1" pivotButton="0" quotePrefix="0" xfId="0"/>
    <xf numFmtId="9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9" customWidth="1" min="3" max="3"/>
    <col width="11" customWidth="1" min="4" max="4"/>
    <col width="17" customWidth="1" min="5" max="5"/>
    <col width="19" customWidth="1" min="6" max="6"/>
  </cols>
  <sheetData>
    <row r="2">
      <c r="B2" s="1" t="inlineStr">
        <is>
          <t>RINCIAN ANGGARAN PROYEK APLIKASI LANSIA</t>
        </is>
      </c>
    </row>
    <row r="3">
      <c r="B3" t="inlineStr">
        <is>
          <t>Pengembangan aplikasi mobile (tablet Android) pendukung lansia &amp; publikasi Google Play Store</t>
        </is>
      </c>
    </row>
    <row r="4">
      <c r="B4" t="inlineStr">
        <is>
          <t>Periode proyek</t>
        </is>
      </c>
      <c r="C4" t="inlineStr">
        <is>
          <t>2 Semester (12 bulan)</t>
        </is>
      </c>
    </row>
    <row r="5">
      <c r="B5" t="inlineStr">
        <is>
          <t>Total anggaran (IT Project)</t>
        </is>
      </c>
      <c r="C5" s="2" t="n">
        <v>40000000</v>
      </c>
    </row>
    <row r="7">
      <c r="A7" s="3" t="inlineStr">
        <is>
          <t>No</t>
        </is>
      </c>
      <c r="B7" s="3" t="inlineStr">
        <is>
          <t>Item</t>
        </is>
      </c>
      <c r="C7" s="3" t="inlineStr">
        <is>
          <t>Qty</t>
        </is>
      </c>
      <c r="D7" s="3" t="inlineStr">
        <is>
          <t>Satuan</t>
        </is>
      </c>
      <c r="E7" s="3" t="inlineStr">
        <is>
          <t>Harga per Qty</t>
        </is>
      </c>
      <c r="F7" s="3" t="inlineStr">
        <is>
          <t>Total Harga</t>
        </is>
      </c>
    </row>
    <row r="8">
      <c r="A8" s="4" t="inlineStr">
        <is>
          <t>A</t>
        </is>
      </c>
      <c r="B8" s="4" t="inlineStr">
        <is>
          <t>Infrastruktur &amp; Operasional</t>
        </is>
      </c>
      <c r="C8" s="4" t="n"/>
      <c r="D8" s="4" t="n"/>
      <c r="E8" s="4" t="n"/>
      <c r="F8" s="5">
        <f>SUM(F9:F13)</f>
        <v/>
      </c>
    </row>
    <row r="9">
      <c r="A9" s="6" t="n">
        <v>1</v>
      </c>
      <c r="B9" s="7" t="inlineStr">
        <is>
          <t>VPS (server backend &amp; database)</t>
        </is>
      </c>
      <c r="C9" s="6" t="n">
        <v>12</v>
      </c>
      <c r="D9" s="6" t="inlineStr">
        <is>
          <t>bulan</t>
        </is>
      </c>
      <c r="E9" s="8" t="n">
        <v>390000</v>
      </c>
      <c r="F9" s="8">
        <f>C9*E9</f>
        <v/>
      </c>
    </row>
    <row r="10">
      <c r="A10" s="6" t="n">
        <v>2</v>
      </c>
      <c r="B10" s="7" t="inlineStr">
        <is>
          <t>Biaya publish Google Play Store (akun developer, sekali bayar US$25)</t>
        </is>
      </c>
      <c r="C10" s="6" t="n">
        <v>1</v>
      </c>
      <c r="D10" s="6" t="inlineStr">
        <is>
          <t>akun</t>
        </is>
      </c>
      <c r="E10" s="8" t="n">
        <v>420000</v>
      </c>
      <c r="F10" s="8">
        <f>C10*E10</f>
        <v/>
      </c>
    </row>
    <row r="11">
      <c r="A11" s="6" t="n">
        <v>3</v>
      </c>
      <c r="B11" s="7" t="inlineStr">
        <is>
          <t>Supporting tools subscription (Figma, GitHub, dll.)</t>
        </is>
      </c>
      <c r="C11" s="6" t="n">
        <v>12</v>
      </c>
      <c r="D11" s="6" t="inlineStr">
        <is>
          <t>bulan</t>
        </is>
      </c>
      <c r="E11" s="8" t="n">
        <v>250000</v>
      </c>
      <c r="F11" s="8">
        <f>C11*E11</f>
        <v/>
      </c>
    </row>
    <row r="12">
      <c r="A12" s="6" t="n">
        <v>4</v>
      </c>
      <c r="B12" s="7" t="inlineStr">
        <is>
          <t>Lisensi aset ilustrasi &amp; ikon</t>
        </is>
      </c>
      <c r="C12" s="6" t="n">
        <v>1</v>
      </c>
      <c r="D12" s="6" t="inlineStr">
        <is>
          <t>paket</t>
        </is>
      </c>
      <c r="E12" s="8" t="n">
        <v>650000</v>
      </c>
      <c r="F12" s="8">
        <f>C12*E12</f>
        <v/>
      </c>
    </row>
    <row r="13">
      <c r="A13" s="6" t="n">
        <v>5</v>
      </c>
      <c r="B13" s="7" t="inlineStr">
        <is>
          <t>Dana cadangan (contingency)</t>
        </is>
      </c>
      <c r="C13" s="6" t="n">
        <v>1</v>
      </c>
      <c r="D13" s="6" t="inlineStr">
        <is>
          <t>paket</t>
        </is>
      </c>
      <c r="E13" s="8" t="n">
        <v>1250000</v>
      </c>
      <c r="F13" s="8">
        <f>C13*E13</f>
        <v/>
      </c>
    </row>
    <row r="14">
      <c r="A14" s="4" t="inlineStr">
        <is>
          <t>B</t>
        </is>
      </c>
      <c r="B14" s="4" t="inlineStr">
        <is>
          <t>Application Development</t>
        </is>
      </c>
      <c r="C14" s="4" t="n"/>
      <c r="D14" s="4" t="n"/>
      <c r="E14" s="4" t="n"/>
      <c r="F14" s="5">
        <f>SUM(F15:F22)</f>
        <v/>
      </c>
    </row>
    <row r="15">
      <c r="A15" s="6" t="n">
        <v>1</v>
      </c>
      <c r="B15" s="7" t="inlineStr">
        <is>
          <t>Analisis kebutuhan &amp; perencanaan</t>
        </is>
      </c>
      <c r="C15" s="6" t="n">
        <v>1</v>
      </c>
      <c r="D15" s="6" t="inlineStr">
        <is>
          <t>paket</t>
        </is>
      </c>
      <c r="E15" s="8" t="n">
        <v>2000000</v>
      </c>
      <c r="F15" s="8">
        <f>C15*E15</f>
        <v/>
      </c>
    </row>
    <row r="16">
      <c r="A16" s="6" t="n">
        <v>2</v>
      </c>
      <c r="B16" s="7" t="inlineStr">
        <is>
          <t>UI/UX &amp; wireframe design (prototype Figma)</t>
        </is>
      </c>
      <c r="C16" s="6" t="n">
        <v>1</v>
      </c>
      <c r="D16" s="6" t="inlineStr">
        <is>
          <t>paket</t>
        </is>
      </c>
      <c r="E16" s="8" t="n">
        <v>4000000</v>
      </c>
      <c r="F16" s="8">
        <f>C16*E16</f>
        <v/>
      </c>
    </row>
    <row r="17">
      <c r="A17" s="6" t="n">
        <v>3</v>
      </c>
      <c r="B17" s="7" t="inlineStr">
        <is>
          <t>Backend &amp; database development (API, autentikasi)</t>
        </is>
      </c>
      <c r="C17" s="6" t="n">
        <v>1</v>
      </c>
      <c r="D17" s="6" t="inlineStr">
        <is>
          <t>paket</t>
        </is>
      </c>
      <c r="E17" s="8" t="n">
        <v>7000000</v>
      </c>
      <c r="F17" s="8">
        <f>C17*E17</f>
        <v/>
      </c>
    </row>
    <row r="18">
      <c r="A18" s="6" t="n">
        <v>4</v>
      </c>
      <c r="B18" s="7" t="inlineStr">
        <is>
          <t>Mobile app development (Login, IADL, RUDAS, Senam, Pengaturan)</t>
        </is>
      </c>
      <c r="C18" s="6" t="n">
        <v>1</v>
      </c>
      <c r="D18" s="6" t="inlineStr">
        <is>
          <t>paket</t>
        </is>
      </c>
      <c r="E18" s="8" t="n">
        <v>9000000</v>
      </c>
      <c r="F18" s="8">
        <f>C18*E18</f>
        <v/>
      </c>
    </row>
    <row r="19">
      <c r="A19" s="6" t="n">
        <v>5</v>
      </c>
      <c r="B19" s="7" t="inlineStr">
        <is>
          <t>Testing &amp; QA (fungsional &amp; uji coba pengguna lansia)</t>
        </is>
      </c>
      <c r="C19" s="6" t="n">
        <v>1</v>
      </c>
      <c r="D19" s="6" t="inlineStr">
        <is>
          <t>paket</t>
        </is>
      </c>
      <c r="E19" s="8" t="n">
        <v>2500000</v>
      </c>
      <c r="F19" s="8">
        <f>C19*E19</f>
        <v/>
      </c>
    </row>
    <row r="20">
      <c r="A20" s="6" t="n">
        <v>6</v>
      </c>
      <c r="B20" s="7" t="inlineStr">
        <is>
          <t>Penetration testing (keamanan aplikasi)</t>
        </is>
      </c>
      <c r="C20" s="6" t="n">
        <v>1</v>
      </c>
      <c r="D20" s="6" t="inlineStr">
        <is>
          <t>paket</t>
        </is>
      </c>
      <c r="E20" s="8" t="n">
        <v>2500000</v>
      </c>
      <c r="F20" s="8">
        <f>C20*E20</f>
        <v/>
      </c>
    </row>
    <row r="21">
      <c r="A21" s="6" t="n">
        <v>7</v>
      </c>
      <c r="B21" s="7" t="inlineStr">
        <is>
          <t>Deployment &amp; publikasi Google Play Store</t>
        </is>
      </c>
      <c r="C21" s="6" t="n">
        <v>1</v>
      </c>
      <c r="D21" s="6" t="inlineStr">
        <is>
          <t>paket</t>
        </is>
      </c>
      <c r="E21" s="8" t="n">
        <v>1000000</v>
      </c>
      <c r="F21" s="8">
        <f>C21*E21</f>
        <v/>
      </c>
    </row>
    <row r="22">
      <c r="A22" s="6" t="n">
        <v>8</v>
      </c>
      <c r="B22" s="7" t="inlineStr">
        <is>
          <t>Maintenance &amp; bug fixing pasca rilis</t>
        </is>
      </c>
      <c r="C22" s="6" t="n">
        <v>1</v>
      </c>
      <c r="D22" s="6" t="inlineStr">
        <is>
          <t>paket</t>
        </is>
      </c>
      <c r="E22" s="8" t="n">
        <v>2000000</v>
      </c>
      <c r="F22" s="8">
        <f>C22*E22</f>
        <v/>
      </c>
    </row>
    <row r="23">
      <c r="A23" s="9" t="n"/>
      <c r="B23" s="9" t="inlineStr">
        <is>
          <t>TOTAL KESELURUHAN</t>
        </is>
      </c>
      <c r="C23" s="9" t="n"/>
      <c r="D23" s="9" t="n"/>
      <c r="E23" s="9" t="n"/>
      <c r="F23" s="10">
        <f>F8+F14</f>
        <v/>
      </c>
    </row>
    <row r="24">
      <c r="A24" s="7" t="n"/>
      <c r="B24" s="7" t="inlineStr">
        <is>
          <t>Sisa anggaran (Total anggaran − Total keseluruhan)</t>
        </is>
      </c>
      <c r="C24" s="7" t="n"/>
      <c r="D24" s="7" t="n"/>
      <c r="E24" s="7" t="n"/>
      <c r="F24" s="8">
        <f>C5-F23</f>
        <v/>
      </c>
    </row>
    <row r="26">
      <c r="B26" s="11" t="inlineStr">
        <is>
          <t>RINGKASAN ANGGARAN</t>
        </is>
      </c>
    </row>
    <row r="27">
      <c r="B27" s="12" t="inlineStr">
        <is>
          <t>Kategori</t>
        </is>
      </c>
      <c r="C27" s="13" t="n"/>
      <c r="D27" s="14" t="n"/>
      <c r="E27" s="12" t="inlineStr">
        <is>
          <t>Jumlah</t>
        </is>
      </c>
      <c r="F27" s="12" t="inlineStr">
        <is>
          <t>Persentase</t>
        </is>
      </c>
    </row>
    <row r="28">
      <c r="B28" s="7" t="inlineStr">
        <is>
          <t>Infrastruktur &amp; Operasional</t>
        </is>
      </c>
      <c r="C28" s="7" t="n"/>
      <c r="D28" s="7" t="n"/>
      <c r="E28" s="8">
        <f>F8</f>
        <v/>
      </c>
      <c r="F28" s="15">
        <f>F8/$F$23</f>
        <v/>
      </c>
    </row>
    <row r="29">
      <c r="B29" s="7" t="inlineStr">
        <is>
          <t>Application Development</t>
        </is>
      </c>
      <c r="C29" s="7" t="n"/>
      <c r="D29" s="7" t="n"/>
      <c r="E29" s="8">
        <f>F14</f>
        <v/>
      </c>
      <c r="F29" s="15">
        <f>F14/$F$23</f>
        <v/>
      </c>
    </row>
    <row r="31">
      <c r="B31" s="11" t="inlineStr">
        <is>
          <t>TERMIN PEMBAYARAN</t>
        </is>
      </c>
    </row>
    <row r="32">
      <c r="B32" s="12" t="inlineStr">
        <is>
          <t>Termin</t>
        </is>
      </c>
      <c r="C32" s="13" t="n"/>
      <c r="D32" s="14" t="n"/>
      <c r="E32" s="12" t="inlineStr">
        <is>
          <t>Persentase</t>
        </is>
      </c>
      <c r="F32" s="12" t="inlineStr">
        <is>
          <t>Jumlah</t>
        </is>
      </c>
    </row>
    <row r="33">
      <c r="B33" s="7" t="inlineStr">
        <is>
          <t>Termin 1 – Semester 1 (Fase Produksi: analisis, desain, development)</t>
        </is>
      </c>
      <c r="C33" s="7" t="n"/>
      <c r="D33" s="7" t="n"/>
      <c r="E33" s="16" t="n">
        <v>0.5</v>
      </c>
      <c r="F33" s="8">
        <f>E33*$F$23</f>
        <v/>
      </c>
    </row>
    <row r="34">
      <c r="B34" s="7" t="inlineStr">
        <is>
          <t>Termin 2 – Semester 2 (Fase Pasca Produksi: testing, rilis Play Store, maintenance)</t>
        </is>
      </c>
      <c r="C34" s="7" t="n"/>
      <c r="D34" s="7" t="n"/>
      <c r="E34" s="16" t="n">
        <v>0.5</v>
      </c>
      <c r="F34" s="8">
        <f>E34*$F$23</f>
        <v/>
      </c>
    </row>
    <row r="36">
      <c r="B36" s="17" t="inlineStr">
        <is>
          <t>Catatan:</t>
        </is>
      </c>
    </row>
    <row r="37">
      <c r="B37" t="inlineStr">
        <is>
          <t>• Harga dalam Rupiah dan dapat berubah mengikuti kurs untuk layanan berbasis USD.</t>
        </is>
      </c>
    </row>
    <row r="38">
      <c r="B38" t="inlineStr">
        <is>
          <t>• VPS &amp; tools dihitung untuk 12 bulan (2 semester).</t>
        </is>
      </c>
    </row>
    <row r="39">
      <c r="B39" t="inlineStr">
        <is>
          <t>• Dana cadangan digunakan untuk kebutuhan tak terduga dan dilaporkan penggunaannya.</t>
        </is>
      </c>
    </row>
  </sheetData>
  <mergeCells count="6">
    <mergeCell ref="B33:D33"/>
    <mergeCell ref="B28:D28"/>
    <mergeCell ref="B32:D32"/>
    <mergeCell ref="B27:D27"/>
    <mergeCell ref="B29:D29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2026-09-28T05:55:08Z</dcterms:created>
  <dcterms:modified xsi:type="dcterms:W3CDTF">2026-09-28T05:55:08Z</dcterms:modified>
</cp:coreProperties>
</file>